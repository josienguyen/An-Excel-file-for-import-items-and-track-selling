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TD COURSE\EXCEL PRACTICE\"/>
    </mc:Choice>
  </mc:AlternateContent>
  <xr:revisionPtr revIDLastSave="0" documentId="13_ncr:1_{4A91A6DA-BE15-46FF-A9D0-FA76E46787E4}" xr6:coauthVersionLast="47" xr6:coauthVersionMax="47" xr10:uidLastSave="{00000000-0000-0000-0000-000000000000}"/>
  <bookViews>
    <workbookView xWindow="-110" yWindow="-110" windowWidth="19420" windowHeight="10300" activeTab="3" xr2:uid="{97094671-B002-4FA2-A215-7F038F54CC98}"/>
  </bookViews>
  <sheets>
    <sheet name="DATA INPUT" sheetId="1" r:id="rId1"/>
    <sheet name="PURCHASE" sheetId="3" r:id="rId2"/>
    <sheet name="SELL" sheetId="4" r:id="rId3"/>
    <sheet name="INVENTORY" sheetId="5" r:id="rId4"/>
    <sheet name="ITEM LIST" sheetId="2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2" i="2" l="1"/>
  <c r="C3" i="2"/>
  <c r="C4" i="2"/>
  <c r="C5" i="2"/>
  <c r="C6" i="2"/>
  <c r="C9" i="2"/>
  <c r="C10" i="2"/>
  <c r="C11" i="2"/>
  <c r="C26" i="2"/>
  <c r="C27" i="2"/>
  <c r="C28" i="2"/>
  <c r="C29" i="2"/>
  <c r="B3" i="2"/>
  <c r="B8" i="5" s="1"/>
  <c r="D8" i="5" s="1"/>
  <c r="B4" i="2"/>
  <c r="B5" i="2"/>
  <c r="B6" i="2"/>
  <c r="B7" i="2"/>
  <c r="B12" i="5" s="1"/>
  <c r="E12" i="5" s="1"/>
  <c r="B8" i="2"/>
  <c r="C7" i="2" s="1"/>
  <c r="B9" i="2"/>
  <c r="B14" i="5" s="1"/>
  <c r="E14" i="5" s="1"/>
  <c r="B10" i="2"/>
  <c r="B15" i="5" s="1"/>
  <c r="C15" i="5" s="1"/>
  <c r="B11" i="2"/>
  <c r="B12" i="2"/>
  <c r="B13" i="2"/>
  <c r="C12" i="2" s="1"/>
  <c r="B14" i="2"/>
  <c r="B15" i="2"/>
  <c r="B16" i="2"/>
  <c r="B17" i="2"/>
  <c r="B22" i="5" s="1"/>
  <c r="E22" i="5" s="1"/>
  <c r="B18" i="2"/>
  <c r="B19" i="2"/>
  <c r="B24" i="5" s="1"/>
  <c r="B20" i="2"/>
  <c r="B21" i="2"/>
  <c r="B22" i="2"/>
  <c r="B23" i="2"/>
  <c r="C23" i="2" s="1"/>
  <c r="B24" i="2"/>
  <c r="C24" i="2" s="1"/>
  <c r="B25" i="2"/>
  <c r="C25" i="2" s="1"/>
  <c r="B26" i="2"/>
  <c r="B27" i="2"/>
  <c r="B28" i="2"/>
  <c r="B29" i="2"/>
  <c r="B2" i="2"/>
  <c r="G13" i="1"/>
  <c r="C13" i="1" s="1"/>
  <c r="C8" i="2" l="1"/>
  <c r="C22" i="2"/>
  <c r="C21" i="2"/>
  <c r="C20" i="2"/>
  <c r="C18" i="2"/>
  <c r="C19" i="2"/>
  <c r="C16" i="2"/>
  <c r="C17" i="2"/>
  <c r="C15" i="2"/>
  <c r="B20" i="5"/>
  <c r="E20" i="5" s="1"/>
  <c r="C14" i="2"/>
  <c r="B19" i="5"/>
  <c r="F19" i="5" s="1"/>
  <c r="C13" i="2"/>
  <c r="B18" i="5"/>
  <c r="F18" i="5" s="1"/>
  <c r="B17" i="5"/>
  <c r="D17" i="5" s="1"/>
  <c r="B16" i="5"/>
  <c r="D16" i="5" s="1"/>
  <c r="B11" i="5"/>
  <c r="F11" i="5" s="1"/>
  <c r="B10" i="5"/>
  <c r="F10" i="5" s="1"/>
  <c r="B23" i="5"/>
  <c r="C23" i="5" s="1"/>
  <c r="B9" i="5"/>
  <c r="D9" i="5" s="1"/>
  <c r="B21" i="5"/>
  <c r="E21" i="5" s="1"/>
  <c r="B13" i="5"/>
  <c r="E13" i="5" s="1"/>
  <c r="B7" i="5"/>
  <c r="C7" i="5" s="1"/>
  <c r="C14" i="5"/>
  <c r="G14" i="5" s="1"/>
  <c r="F12" i="5"/>
  <c r="D15" i="5"/>
  <c r="D24" i="5"/>
  <c r="C22" i="5"/>
  <c r="G22" i="5" s="1"/>
  <c r="C12" i="5"/>
  <c r="G12" i="5" s="1"/>
  <c r="D22" i="5"/>
  <c r="D14" i="5"/>
  <c r="F14" i="5"/>
  <c r="F22" i="5"/>
  <c r="E24" i="5"/>
  <c r="E8" i="5"/>
  <c r="F15" i="5"/>
  <c r="D12" i="5"/>
  <c r="E15" i="5"/>
  <c r="G15" i="5" s="1"/>
  <c r="F24" i="5"/>
  <c r="F8" i="5"/>
  <c r="C24" i="5"/>
  <c r="C8" i="5"/>
  <c r="D13" i="5" l="1"/>
  <c r="E23" i="5"/>
  <c r="G23" i="5" s="1"/>
  <c r="F23" i="5"/>
  <c r="C21" i="5"/>
  <c r="G21" i="5" s="1"/>
  <c r="F21" i="5"/>
  <c r="C20" i="5"/>
  <c r="G20" i="5" s="1"/>
  <c r="D21" i="5"/>
  <c r="D20" i="5"/>
  <c r="F20" i="5"/>
  <c r="E19" i="5"/>
  <c r="D19" i="5"/>
  <c r="C19" i="5"/>
  <c r="D18" i="5"/>
  <c r="E18" i="5"/>
  <c r="C18" i="5"/>
  <c r="F17" i="5"/>
  <c r="E17" i="5"/>
  <c r="C17" i="5"/>
  <c r="F16" i="5"/>
  <c r="C16" i="5"/>
  <c r="E16" i="5"/>
  <c r="D11" i="5"/>
  <c r="E11" i="5"/>
  <c r="C11" i="5"/>
  <c r="D10" i="5"/>
  <c r="C10" i="5"/>
  <c r="E10" i="5"/>
  <c r="G24" i="5"/>
  <c r="D23" i="5"/>
  <c r="F13" i="5"/>
  <c r="C13" i="5"/>
  <c r="G13" i="5" s="1"/>
  <c r="F9" i="5"/>
  <c r="C9" i="5"/>
  <c r="E9" i="5"/>
  <c r="F7" i="5"/>
  <c r="E7" i="5"/>
  <c r="G7" i="5" s="1"/>
  <c r="D7" i="5"/>
  <c r="G8" i="5"/>
  <c r="G18" i="5" l="1"/>
  <c r="G19" i="5"/>
  <c r="G17" i="5"/>
  <c r="G16" i="5"/>
  <c r="G11" i="5"/>
  <c r="G10" i="5"/>
  <c r="C2" i="5"/>
  <c r="C3" i="5"/>
  <c r="G9" i="5"/>
  <c r="C4" i="5" l="1"/>
</calcChain>
</file>

<file path=xl/sharedStrings.xml><?xml version="1.0" encoding="utf-8"?>
<sst xmlns="http://schemas.openxmlformats.org/spreadsheetml/2006/main" count="91" uniqueCount="65">
  <si>
    <t>Purchase Date</t>
  </si>
  <si>
    <t>Item</t>
  </si>
  <si>
    <t>Quantity</t>
  </si>
  <si>
    <t>Unit price</t>
  </si>
  <si>
    <t>Items</t>
  </si>
  <si>
    <t>Total</t>
  </si>
  <si>
    <t>Sell Date</t>
  </si>
  <si>
    <t>Stock</t>
  </si>
  <si>
    <t>Unit price(USD)</t>
  </si>
  <si>
    <t>TAX</t>
  </si>
  <si>
    <t>WEIGHT</t>
  </si>
  <si>
    <t>USD/UNIT</t>
  </si>
  <si>
    <t>VND/UNIT</t>
  </si>
  <si>
    <t>QTY</t>
  </si>
  <si>
    <t>QTY Purchase</t>
  </si>
  <si>
    <t>QTY Sell</t>
  </si>
  <si>
    <t>Total Cost</t>
  </si>
  <si>
    <t>Total Revenue</t>
  </si>
  <si>
    <t>Interest</t>
  </si>
  <si>
    <t>VENUS</t>
  </si>
  <si>
    <t>TEST DUPLICATE</t>
  </si>
  <si>
    <t xml:space="preserve">THIS IS A BOTTOM TO RUN MACRO TO IMPORT STOCK </t>
  </si>
  <si>
    <t>WHEN MAKING AN ORDER</t>
  </si>
  <si>
    <t>COLLAGEN</t>
  </si>
  <si>
    <t>TAMPAX</t>
  </si>
  <si>
    <t>BVS</t>
  </si>
  <si>
    <t>DAO CAO</t>
  </si>
  <si>
    <t>BIC</t>
  </si>
  <si>
    <t>DAO CAO SOLEIL</t>
  </si>
  <si>
    <t>(VANG)</t>
  </si>
  <si>
    <t>SET 2</t>
  </si>
  <si>
    <t>BRAND</t>
  </si>
  <si>
    <t>ITEM</t>
  </si>
  <si>
    <t>COLOR</t>
  </si>
  <si>
    <t>(TIM)</t>
  </si>
  <si>
    <t>YOUTHEORY</t>
  </si>
  <si>
    <t>390V</t>
  </si>
  <si>
    <t>PEARL</t>
  </si>
  <si>
    <t>34C</t>
  </si>
  <si>
    <t>BOUNCE</t>
  </si>
  <si>
    <t>GIAY THOM QUAN AO</t>
  </si>
  <si>
    <t>105M</t>
  </si>
  <si>
    <t>SUMMER EVE</t>
  </si>
  <si>
    <t>DDVS</t>
  </si>
  <si>
    <t>SKINTIMATE</t>
  </si>
  <si>
    <t>KEM CAO</t>
  </si>
  <si>
    <t>3OZ</t>
  </si>
  <si>
    <t>NATURE BOUNTY</t>
  </si>
  <si>
    <t xml:space="preserve">GUMMIES </t>
  </si>
  <si>
    <t>COLLAGEN + ORANGE</t>
  </si>
  <si>
    <t>80V</t>
  </si>
  <si>
    <t>VICHY</t>
  </si>
  <si>
    <t>KCN</t>
  </si>
  <si>
    <t>36C</t>
  </si>
  <si>
    <t>DAU</t>
  </si>
  <si>
    <t>VAGISIL</t>
  </si>
  <si>
    <t>XIT PHU KHOA</t>
  </si>
  <si>
    <t>ONE A DAY</t>
  </si>
  <si>
    <t>GIAY LAU</t>
  </si>
  <si>
    <t>16M</t>
  </si>
  <si>
    <t>AZO</t>
  </si>
  <si>
    <t>VANG</t>
  </si>
  <si>
    <t>DO</t>
  </si>
  <si>
    <t>BIC DAO CAO SOLEIL (TIM) SET 2</t>
  </si>
  <si>
    <t>Copyright by J.Nguyen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</si>
</sst>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[$VND]\ #,##0_);\([$VND]\ #,##0\)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 tint="-0.34998626667073579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2A0EA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37">
    <xf numFmtId="0" fontId="0" fillId="0" borderId="0" xfId="0"/>
    <xf numFmtId="0" fontId="0" fillId="2" borderId="0" xfId="0" applyFill="1"/>
    <xf numFmtId="0" fontId="0" fillId="3" borderId="1" xfId="0" applyFill="1" applyBorder="1"/>
    <xf numFmtId="0" fontId="0" fillId="2" borderId="1" xfId="0" applyFill="1" applyBorder="1"/>
    <xf numFmtId="0" fontId="0" fillId="4" borderId="1" xfId="0" applyFill="1" applyBorder="1"/>
    <xf numFmtId="14" fontId="0" fillId="2" borderId="1" xfId="0" applyNumberFormat="1" applyFill="1" applyBorder="1"/>
    <xf numFmtId="0" fontId="0" fillId="0" borderId="1" xfId="0" applyBorder="1"/>
    <xf numFmtId="0" fontId="0" fillId="0" borderId="0" xfId="0" applyBorder="1"/>
    <xf numFmtId="14" fontId="0" fillId="2" borderId="1" xfId="0" applyNumberFormat="1" applyFill="1" applyBorder="1" applyAlignment="1">
      <alignment horizontal="right"/>
    </xf>
    <xf numFmtId="0" fontId="0" fillId="2" borderId="1" xfId="0" applyFill="1" applyBorder="1" applyAlignment="1">
      <alignment horizontal="right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0" xfId="0" applyBorder="1"/>
    <xf numFmtId="0" fontId="0" fillId="0" borderId="3" xfId="0" applyBorder="1"/>
    <xf numFmtId="164" fontId="0" fillId="0" borderId="1" xfId="2" applyNumberFormat="1" applyFont="1" applyBorder="1"/>
    <xf numFmtId="164" fontId="0" fillId="0" borderId="0" xfId="2" applyNumberFormat="1" applyFont="1"/>
    <xf numFmtId="0" fontId="0" fillId="2" borderId="3" xfId="0" applyFill="1" applyBorder="1" applyAlignment="1">
      <alignment horizontal="right"/>
    </xf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165" fontId="0" fillId="2" borderId="3" xfId="1" applyNumberFormat="1" applyFont="1" applyFill="1" applyBorder="1" applyAlignment="1">
      <alignment horizontal="right"/>
    </xf>
    <xf numFmtId="165" fontId="0" fillId="2" borderId="1" xfId="1" applyNumberFormat="1" applyFont="1" applyFill="1" applyBorder="1" applyAlignment="1">
      <alignment horizontal="right"/>
    </xf>
    <xf numFmtId="0" fontId="3" fillId="6" borderId="1" xfId="0" applyFont="1" applyFill="1" applyBorder="1"/>
    <xf numFmtId="0" fontId="0" fillId="0" borderId="0" xfId="0" quotePrefix="1" applyAlignment="1">
      <alignment wrapText="1"/>
    </xf>
    <xf numFmtId="0" fontId="0" fillId="0" borderId="4" xfId="0" applyBorder="1" applyAlignment="1">
      <alignment horizontal="center" vertical="center"/>
    </xf>
    <xf numFmtId="0" fontId="0" fillId="0" borderId="9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2" fillId="5" borderId="4" xfId="0" applyFont="1" applyFill="1" applyBorder="1"/>
    <xf numFmtId="0" fontId="2" fillId="5" borderId="2" xfId="0" applyFont="1" applyFill="1" applyBorder="1"/>
    <xf numFmtId="0" fontId="2" fillId="5" borderId="5" xfId="0" applyFont="1" applyFill="1" applyBorder="1"/>
    <xf numFmtId="164" fontId="2" fillId="5" borderId="2" xfId="2" applyNumberFormat="1" applyFont="1" applyFill="1" applyBorder="1"/>
    <xf numFmtId="164" fontId="0" fillId="0" borderId="7" xfId="2" applyNumberFormat="1" applyFont="1" applyBorder="1"/>
    <xf numFmtId="14" fontId="0" fillId="0" borderId="0" xfId="0" applyNumberForma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5" fillId="2" borderId="0" xfId="0" applyFont="1" applyFill="1" applyProtection="1"/>
  </cellXfs>
  <cellStyles count="3">
    <cellStyle name="Comma" xfId="2" builtinId="3"/>
    <cellStyle name="Currency" xfId="1" builtinId="4"/>
    <cellStyle name="Normal" xfId="0" builtinId="0"/>
  </cellStyles>
  <dxfs count="45">
    <dxf>
      <alignment horizontal="center" vertical="center" textRotation="0" wrapText="1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4" formatCode="_(* #,##0_);_(* \(#,##0\);_(* &quot;-&quot;??_);_(@_)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_(* #,##0_);_(* \(#,##0\);_(* &quot;-&quot;??_);_(@_)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8" tint="0.59999389629810485"/>
        </patternFill>
      </fill>
    </dxf>
    <dxf>
      <fill>
        <patternFill patternType="solid">
          <fgColor indexed="64"/>
          <bgColor theme="8" tint="0.59999389629810485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8" tint="0.5999938962981048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8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8" tint="0.59999389629810485"/>
        </patternFill>
      </fill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1" defaultTableStyle="TableStyleMedium2" defaultPivotStyle="PivotStyleLight16">
    <tableStyle name="Table Style 1" pivot="0" count="0" xr9:uid="{7CC96E24-8F14-4CAC-BF92-10943165DE5C}"/>
  </tableStyles>
  <colors>
    <mruColors>
      <color rgb="FFF2A0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INVENTORY!A1"/><Relationship Id="rId2" Type="http://schemas.openxmlformats.org/officeDocument/2006/relationships/image" Target="../media/image1.png"/><Relationship Id="rId1" Type="http://schemas.openxmlformats.org/officeDocument/2006/relationships/hyperlink" Target="#SELL!A1"/><Relationship Id="rId6" Type="http://schemas.openxmlformats.org/officeDocument/2006/relationships/image" Target="../media/image3.png"/><Relationship Id="rId5" Type="http://schemas.openxmlformats.org/officeDocument/2006/relationships/hyperlink" Target="#PURCHASE!A1"/><Relationship Id="rId4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'DATA INPUT'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'DATA INPUT'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'DATA INPUT'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'DATA INPUT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735012</xdr:colOff>
      <xdr:row>3</xdr:row>
      <xdr:rowOff>139700</xdr:rowOff>
    </xdr:from>
    <xdr:to>
      <xdr:col>6</xdr:col>
      <xdr:colOff>546100</xdr:colOff>
      <xdr:row>7</xdr:row>
      <xdr:rowOff>88900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8EB55736-4ED3-BED1-68C5-6D620A3B5410}"/>
            </a:ext>
          </a:extLst>
        </xdr:cNvPr>
        <xdr:cNvGrpSpPr/>
      </xdr:nvGrpSpPr>
      <xdr:grpSpPr>
        <a:xfrm>
          <a:off x="3833812" y="692150"/>
          <a:ext cx="1912938" cy="685800"/>
          <a:chOff x="2971800" y="371475"/>
          <a:chExt cx="1619250" cy="723900"/>
        </a:xfrm>
      </xdr:grpSpPr>
      <xdr:sp macro="" textlink="">
        <xdr:nvSpPr>
          <xdr:cNvPr id="4" name="Rectangle: Rounded Corners 3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C40A5DF1-6252-4E14-9DEC-B41C04491816}"/>
              </a:ext>
            </a:extLst>
          </xdr:cNvPr>
          <xdr:cNvSpPr/>
        </xdr:nvSpPr>
        <xdr:spPr>
          <a:xfrm>
            <a:off x="2971800" y="371475"/>
            <a:ext cx="1619250" cy="723900"/>
          </a:xfrm>
          <a:prstGeom prst="roundRect">
            <a:avLst/>
          </a:prstGeom>
          <a:ln w="38100">
            <a:solidFill>
              <a:schemeClr val="bg1"/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500" b="1"/>
              <a:t>         SALE</a:t>
            </a:r>
          </a:p>
        </xdr:txBody>
      </xdr:sp>
      <xdr:pic>
        <xdr:nvPicPr>
          <xdr:cNvPr id="12" name="Picture 11">
            <a:extLst>
              <a:ext uri="{FF2B5EF4-FFF2-40B4-BE49-F238E27FC236}">
                <a16:creationId xmlns:a16="http://schemas.microsoft.com/office/drawing/2014/main" id="{DA79B93F-A2D2-DEE4-9566-4813B582114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93453" y="413413"/>
            <a:ext cx="573080" cy="638174"/>
          </a:xfrm>
          <a:prstGeom prst="rect">
            <a:avLst/>
          </a:prstGeom>
          <a:ln>
            <a:solidFill>
              <a:schemeClr val="bg1"/>
            </a:solidFill>
          </a:ln>
        </xdr:spPr>
      </xdr:pic>
    </xdr:grpSp>
    <xdr:clientData/>
  </xdr:twoCellAnchor>
  <xdr:twoCellAnchor editAs="absolute">
    <xdr:from>
      <xdr:col>8</xdr:col>
      <xdr:colOff>228601</xdr:colOff>
      <xdr:row>3</xdr:row>
      <xdr:rowOff>123824</xdr:rowOff>
    </xdr:from>
    <xdr:to>
      <xdr:col>9</xdr:col>
      <xdr:colOff>1460501</xdr:colOff>
      <xdr:row>7</xdr:row>
      <xdr:rowOff>107950</xdr:rowOff>
    </xdr:to>
    <xdr:grpSp>
      <xdr:nvGrpSpPr>
        <xdr:cNvPr id="19" name="Group 1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BF07756-CBAE-DD20-A449-960F04974D04}"/>
            </a:ext>
          </a:extLst>
        </xdr:cNvPr>
        <xdr:cNvGrpSpPr/>
      </xdr:nvGrpSpPr>
      <xdr:grpSpPr>
        <a:xfrm>
          <a:off x="6711951" y="676274"/>
          <a:ext cx="2190750" cy="720726"/>
          <a:chOff x="6191251" y="304800"/>
          <a:chExt cx="2095500" cy="723900"/>
        </a:xfrm>
      </xdr:grpSpPr>
      <xdr:sp macro="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9D7229EB-770C-4E03-8C63-9D811253D397}"/>
              </a:ext>
            </a:extLst>
          </xdr:cNvPr>
          <xdr:cNvSpPr/>
        </xdr:nvSpPr>
        <xdr:spPr>
          <a:xfrm>
            <a:off x="6191251" y="304800"/>
            <a:ext cx="2095500" cy="723900"/>
          </a:xfrm>
          <a:prstGeom prst="roundRect">
            <a:avLst/>
          </a:prstGeom>
          <a:ln w="38100">
            <a:solidFill>
              <a:schemeClr val="bg1"/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800" b="1"/>
              <a:t>           WAREHOUSE</a:t>
            </a:r>
          </a:p>
        </xdr:txBody>
      </xdr:sp>
      <xdr:pic>
        <xdr:nvPicPr>
          <xdr:cNvPr id="14" name="Picture 13">
            <a:extLst>
              <a:ext uri="{FF2B5EF4-FFF2-40B4-BE49-F238E27FC236}">
                <a16:creationId xmlns:a16="http://schemas.microsoft.com/office/drawing/2014/main" id="{57E39353-49B2-8455-C7F5-CAC7A3F88AB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87962" y="419100"/>
            <a:ext cx="494690" cy="494690"/>
          </a:xfrm>
          <a:prstGeom prst="rect">
            <a:avLst/>
          </a:prstGeom>
          <a:ln>
            <a:solidFill>
              <a:schemeClr val="bg1"/>
            </a:solidFill>
          </a:ln>
        </xdr:spPr>
      </xdr:pic>
    </xdr:grpSp>
    <xdr:clientData/>
  </xdr:twoCellAnchor>
  <xdr:twoCellAnchor editAs="absolute">
    <xdr:from>
      <xdr:col>1</xdr:col>
      <xdr:colOff>25399</xdr:colOff>
      <xdr:row>3</xdr:row>
      <xdr:rowOff>128587</xdr:rowOff>
    </xdr:from>
    <xdr:to>
      <xdr:col>2</xdr:col>
      <xdr:colOff>996950</xdr:colOff>
      <xdr:row>7</xdr:row>
      <xdr:rowOff>80961</xdr:rowOff>
    </xdr:to>
    <xdr:grpSp>
      <xdr:nvGrpSpPr>
        <xdr:cNvPr id="17" name="Group 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D970221-A167-5BC2-2BFB-8F85F97BFB0E}"/>
            </a:ext>
          </a:extLst>
        </xdr:cNvPr>
        <xdr:cNvGrpSpPr/>
      </xdr:nvGrpSpPr>
      <xdr:grpSpPr>
        <a:xfrm>
          <a:off x="666749" y="681037"/>
          <a:ext cx="1930401" cy="688974"/>
          <a:chOff x="561975" y="609599"/>
          <a:chExt cx="1543050" cy="657225"/>
        </a:xfrm>
      </xdr:grpSpPr>
      <xdr:sp macro="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54F0DD98-FE76-8A7D-191B-9AB388DE576F}"/>
              </a:ext>
            </a:extLst>
          </xdr:cNvPr>
          <xdr:cNvSpPr/>
        </xdr:nvSpPr>
        <xdr:spPr>
          <a:xfrm>
            <a:off x="561975" y="609599"/>
            <a:ext cx="1543050" cy="657225"/>
          </a:xfrm>
          <a:prstGeom prst="roundRect">
            <a:avLst/>
          </a:prstGeom>
          <a:ln w="38100">
            <a:solidFill>
              <a:schemeClr val="bg1"/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000" b="1" baseline="0"/>
              <a:t>         </a:t>
            </a:r>
            <a:r>
              <a:rPr lang="en-US" sz="2500" b="1" baseline="0"/>
              <a:t>BUY</a:t>
            </a:r>
            <a:r>
              <a:rPr lang="en-US" sz="2000" b="1"/>
              <a:t>	</a:t>
            </a:r>
          </a:p>
        </xdr:txBody>
      </xdr:sp>
      <xdr:pic>
        <xdr:nvPicPr>
          <xdr:cNvPr id="16" name="Picture 15">
            <a:extLst>
              <a:ext uri="{FF2B5EF4-FFF2-40B4-BE49-F238E27FC236}">
                <a16:creationId xmlns:a16="http://schemas.microsoft.com/office/drawing/2014/main" id="{2139B369-5889-6012-3FA3-6701A36466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11663" y="710184"/>
            <a:ext cx="439870" cy="439870"/>
          </a:xfrm>
          <a:prstGeom prst="rect">
            <a:avLst/>
          </a:prstGeom>
          <a:ln>
            <a:solidFill>
              <a:schemeClr val="bg1"/>
            </a:solidFill>
          </a:ln>
        </xdr:spPr>
      </xdr:pic>
    </xdr:grpSp>
    <xdr:clientData/>
  </xdr:twoCellAnchor>
  <xdr:twoCellAnchor>
    <xdr:from>
      <xdr:col>1</xdr:col>
      <xdr:colOff>6350</xdr:colOff>
      <xdr:row>13</xdr:row>
      <xdr:rowOff>114300</xdr:rowOff>
    </xdr:from>
    <xdr:to>
      <xdr:col>2</xdr:col>
      <xdr:colOff>1473200</xdr:colOff>
      <xdr:row>16</xdr:row>
      <xdr:rowOff>95250</xdr:rowOff>
    </xdr:to>
    <xdr:sp macro="[0]!RESTOCK" textlink="">
      <xdr:nvSpPr>
        <xdr:cNvPr id="20" name="Rectangle: Rounded Corners 19">
          <a:extLst>
            <a:ext uri="{FF2B5EF4-FFF2-40B4-BE49-F238E27FC236}">
              <a16:creationId xmlns:a16="http://schemas.microsoft.com/office/drawing/2014/main" id="{CAA9DED1-6DCC-A577-E1D3-DAB827AA64FD}"/>
            </a:ext>
          </a:extLst>
        </xdr:cNvPr>
        <xdr:cNvSpPr/>
      </xdr:nvSpPr>
      <xdr:spPr>
        <a:xfrm>
          <a:off x="647700" y="2508250"/>
          <a:ext cx="2425700" cy="533400"/>
        </a:xfrm>
        <a:prstGeom prst="roundRect">
          <a:avLst/>
        </a:prstGeom>
        <a:solidFill>
          <a:schemeClr val="accent2"/>
        </a:solidFill>
        <a:ln w="571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500"/>
            <a:t>IMPORT STOCK</a:t>
          </a:r>
        </a:p>
      </xdr:txBody>
    </xdr:sp>
    <xdr:clientData/>
  </xdr:twoCellAnchor>
  <xdr:twoCellAnchor>
    <xdr:from>
      <xdr:col>8</xdr:col>
      <xdr:colOff>12700</xdr:colOff>
      <xdr:row>13</xdr:row>
      <xdr:rowOff>133350</xdr:rowOff>
    </xdr:from>
    <xdr:to>
      <xdr:col>9</xdr:col>
      <xdr:colOff>1492250</xdr:colOff>
      <xdr:row>16</xdr:row>
      <xdr:rowOff>114300</xdr:rowOff>
    </xdr:to>
    <xdr:sp macro="[0]!SELLING" textlink="">
      <xdr:nvSpPr>
        <xdr:cNvPr id="21" name="Rectangle: Rounded Corners 20">
          <a:extLst>
            <a:ext uri="{FF2B5EF4-FFF2-40B4-BE49-F238E27FC236}">
              <a16:creationId xmlns:a16="http://schemas.microsoft.com/office/drawing/2014/main" id="{5325A0AA-735F-498D-B744-DC1AEC256839}"/>
            </a:ext>
          </a:extLst>
        </xdr:cNvPr>
        <xdr:cNvSpPr/>
      </xdr:nvSpPr>
      <xdr:spPr>
        <a:xfrm>
          <a:off x="6496050" y="2527300"/>
          <a:ext cx="2438400" cy="533400"/>
        </a:xfrm>
        <a:prstGeom prst="roundRect">
          <a:avLst/>
        </a:prstGeom>
        <a:solidFill>
          <a:srgbClr val="92D050"/>
        </a:solidFill>
        <a:ln w="571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500"/>
            <a:t>SALE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120650</xdr:colOff>
      <xdr:row>1</xdr:row>
      <xdr:rowOff>95250</xdr:rowOff>
    </xdr:from>
    <xdr:to>
      <xdr:col>9</xdr:col>
      <xdr:colOff>228600</xdr:colOff>
      <xdr:row>5</xdr:row>
      <xdr:rowOff>158750</xdr:rowOff>
    </xdr:to>
    <xdr:sp macro="" textlink="">
      <xdr:nvSpPr>
        <xdr:cNvPr id="2" name="Arrow: Left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168EEF0-F9A8-4C4D-9AA2-9B73EB9ABACC}"/>
            </a:ext>
          </a:extLst>
        </xdr:cNvPr>
        <xdr:cNvSpPr/>
      </xdr:nvSpPr>
      <xdr:spPr>
        <a:xfrm>
          <a:off x="6267450" y="279400"/>
          <a:ext cx="1936750" cy="800100"/>
        </a:xfrm>
        <a:prstGeom prst="leftArrow">
          <a:avLst/>
        </a:prstGeom>
        <a:solidFill>
          <a:srgbClr val="F2A0E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BACK</a:t>
          </a:r>
          <a:r>
            <a:rPr lang="en-US" sz="1100" baseline="0"/>
            <a:t> TO </a:t>
          </a:r>
          <a:r>
            <a:rPr lang="en-US" sz="1100" b="1" baseline="0">
              <a:solidFill>
                <a:srgbClr val="FFFF00"/>
              </a:solidFill>
            </a:rPr>
            <a:t>DATA-ENTRY</a:t>
          </a:r>
          <a:endParaRPr lang="en-US" sz="1100" b="1">
            <a:solidFill>
              <a:srgbClr val="FFFF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361950</xdr:colOff>
      <xdr:row>0</xdr:row>
      <xdr:rowOff>127000</xdr:rowOff>
    </xdr:from>
    <xdr:to>
      <xdr:col>9</xdr:col>
      <xdr:colOff>469900</xdr:colOff>
      <xdr:row>5</xdr:row>
      <xdr:rowOff>6350</xdr:rowOff>
    </xdr:to>
    <xdr:sp macro="" textlink="">
      <xdr:nvSpPr>
        <xdr:cNvPr id="2" name="Arrow: Left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21AD443-3834-4C06-B462-895B115DC73C}"/>
            </a:ext>
          </a:extLst>
        </xdr:cNvPr>
        <xdr:cNvSpPr/>
      </xdr:nvSpPr>
      <xdr:spPr>
        <a:xfrm>
          <a:off x="5505450" y="127000"/>
          <a:ext cx="1936750" cy="800100"/>
        </a:xfrm>
        <a:prstGeom prst="leftArrow">
          <a:avLst/>
        </a:prstGeom>
        <a:solidFill>
          <a:srgbClr val="F2A0E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BACK</a:t>
          </a:r>
          <a:r>
            <a:rPr lang="en-US" sz="1100" baseline="0"/>
            <a:t> TO </a:t>
          </a:r>
          <a:r>
            <a:rPr lang="en-US" sz="1100" b="1" baseline="0">
              <a:solidFill>
                <a:srgbClr val="FFFF00"/>
              </a:solidFill>
            </a:rPr>
            <a:t>DATA-ENTRY</a:t>
          </a:r>
          <a:endParaRPr lang="en-US" sz="1100" b="1">
            <a:solidFill>
              <a:srgbClr val="FFFF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520700</xdr:colOff>
      <xdr:row>2</xdr:row>
      <xdr:rowOff>0</xdr:rowOff>
    </xdr:from>
    <xdr:to>
      <xdr:col>11</xdr:col>
      <xdr:colOff>19050</xdr:colOff>
      <xdr:row>6</xdr:row>
      <xdr:rowOff>63500</xdr:rowOff>
    </xdr:to>
    <xdr:sp macro="" textlink="">
      <xdr:nvSpPr>
        <xdr:cNvPr id="5" name="Arrow: Left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F60CA5-B1C4-485E-A4F0-93943C194C97}"/>
            </a:ext>
          </a:extLst>
        </xdr:cNvPr>
        <xdr:cNvSpPr/>
      </xdr:nvSpPr>
      <xdr:spPr>
        <a:xfrm>
          <a:off x="7086600" y="368300"/>
          <a:ext cx="1936750" cy="800100"/>
        </a:xfrm>
        <a:prstGeom prst="leftArrow">
          <a:avLst/>
        </a:prstGeom>
        <a:solidFill>
          <a:srgbClr val="F2A0E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BACK</a:t>
          </a:r>
          <a:r>
            <a:rPr lang="en-US" sz="1100" baseline="0"/>
            <a:t> TO </a:t>
          </a:r>
          <a:r>
            <a:rPr lang="en-US" sz="1100" b="1" baseline="0">
              <a:solidFill>
                <a:srgbClr val="FFFF00"/>
              </a:solidFill>
            </a:rPr>
            <a:t>DATA-ENTRY</a:t>
          </a:r>
          <a:endParaRPr lang="en-US" sz="1100" b="1">
            <a:solidFill>
              <a:srgbClr val="FFFF00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596900</xdr:colOff>
      <xdr:row>0</xdr:row>
      <xdr:rowOff>165100</xdr:rowOff>
    </xdr:from>
    <xdr:to>
      <xdr:col>7</xdr:col>
      <xdr:colOff>95250</xdr:colOff>
      <xdr:row>4</xdr:row>
      <xdr:rowOff>44450</xdr:rowOff>
    </xdr:to>
    <xdr:sp macro="" textlink="">
      <xdr:nvSpPr>
        <xdr:cNvPr id="2" name="Arrow: Left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3329F9E-2DDB-4AEF-856E-90E368B3035F}"/>
            </a:ext>
          </a:extLst>
        </xdr:cNvPr>
        <xdr:cNvSpPr/>
      </xdr:nvSpPr>
      <xdr:spPr>
        <a:xfrm>
          <a:off x="5016500" y="165100"/>
          <a:ext cx="1936750" cy="800100"/>
        </a:xfrm>
        <a:prstGeom prst="leftArrow">
          <a:avLst/>
        </a:prstGeom>
        <a:solidFill>
          <a:srgbClr val="F2A0E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BACK</a:t>
          </a:r>
          <a:r>
            <a:rPr lang="en-US" sz="1100" baseline="0"/>
            <a:t> TO </a:t>
          </a:r>
          <a:r>
            <a:rPr lang="en-US" sz="1100" b="1" baseline="0">
              <a:solidFill>
                <a:srgbClr val="FFFF00"/>
              </a:solidFill>
            </a:rPr>
            <a:t>DATA-ENTRY</a:t>
          </a:r>
          <a:endParaRPr lang="en-US" sz="1100" b="1">
            <a:solidFill>
              <a:srgbClr val="FFFF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C18FA97-70DF-4F0B-9542-1BC8EB5B84CF}" name="Table7" displayName="Table7" ref="D12:G13" totalsRowShown="0" headerRowDxfId="44" dataDxfId="42" headerRowBorderDxfId="43" tableBorderDxfId="41" totalsRowBorderDxfId="40">
  <autoFilter ref="D12:G13" xr:uid="{1C18FA97-70DF-4F0B-9542-1BC8EB5B84CF}"/>
  <tableColumns count="4">
    <tableColumn id="1" xr3:uid="{F3ED805A-919E-487A-B947-D63D909F04D0}" name="USD/UNIT" dataDxfId="39"/>
    <tableColumn id="2" xr3:uid="{4DAF0393-F470-4184-AF4B-C9EDD23CCFD8}" name="TAX" dataDxfId="38"/>
    <tableColumn id="3" xr3:uid="{38107353-4F54-442C-B6C4-90284CA8C3BA}" name="WEIGHT" dataDxfId="37"/>
    <tableColumn id="4" xr3:uid="{A11F3025-22D9-45CB-82FB-5D9E0415A980}" name="VND/UNIT" dataDxfId="36">
      <calculatedColumnFormula>IF(Table7[[#This Row],[TAX]]="YES",(Table7[[#This Row],[USD/UNIT]]*1.0825+Table7[[#This Row],[WEIGHT]])*24000,(Table7[[#This Row],[USD/UNIT]]*+Table7[[#This Row],[WEIGHT]])*24000)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CB667E6-0987-4667-9AFF-5FB3C14F5020}" name="Table4" displayName="Table4" ref="B2:F4" totalsRowShown="0">
  <autoFilter ref="B2:F4" xr:uid="{4CB667E6-0987-4667-9AFF-5FB3C14F5020}"/>
  <tableColumns count="5">
    <tableColumn id="1" xr3:uid="{A6C7DAC6-6DC0-4CD8-9ADB-DCD0518FD9A0}" name="Purchase Date" dataDxfId="35"/>
    <tableColumn id="2" xr3:uid="{5B7A3BE4-15DC-458A-A730-A3AE450C0EC8}" name="Item" dataDxfId="34"/>
    <tableColumn id="3" xr3:uid="{8D053980-8BCE-417C-8985-5149335C115C}" name="QTY" dataDxfId="33"/>
    <tableColumn id="4" xr3:uid="{4111C9B0-CEE6-4170-8C7D-E0B7549ECD28}" name="Unit price(USD)" dataDxfId="32"/>
    <tableColumn id="5" xr3:uid="{B616D562-13BD-4744-BDC8-B8AF1B8848E4}" name="Total" dataDxfId="31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1512448-3AAD-4EFB-A4E0-457358BA7791}" name="Table1" displayName="Table1" ref="B2:F3" totalsRowShown="0" headerRowDxfId="30" dataDxfId="29">
  <autoFilter ref="B2:F3" xr:uid="{31512448-3AAD-4EFB-A4E0-457358BA7791}"/>
  <tableColumns count="5">
    <tableColumn id="1" xr3:uid="{D9453D12-6C34-41EF-9375-0CC5F1615B2A}" name="Sell Date" dataDxfId="28"/>
    <tableColumn id="2" xr3:uid="{329C2660-BBA2-4EB8-B068-5225FF26365C}" name="Item" dataDxfId="27"/>
    <tableColumn id="3" xr3:uid="{E692C3E8-F23D-4586-A2A2-C2529814369B}" name="QTY" dataDxfId="26"/>
    <tableColumn id="4" xr3:uid="{78359B0B-A5E0-4456-B47F-3A8A1F153D17}" name="Unit price" dataDxfId="25"/>
    <tableColumn id="5" xr3:uid="{03A926BE-A60B-4EA6-9D8E-01A09B15B025}" name="Total" dataDxfId="24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3AED5FB-46EF-4894-A44F-9E67D54E6EC4}" name="Table10" displayName="Table10" ref="B6:G24" totalsRowShown="0" headerRowDxfId="22" headerRowBorderDxfId="21" tableBorderDxfId="20" totalsRowBorderDxfId="19">
  <autoFilter ref="B6:G24" xr:uid="{73AED5FB-46EF-4894-A44F-9E67D54E6EC4}"/>
  <tableColumns count="6">
    <tableColumn id="1" xr3:uid="{23F31189-EF03-40DC-9D4E-0862772A35A9}" name="Item" dataDxfId="18">
      <calculatedColumnFormula>IF('ITEM LIST'!B2="","",'ITEM LIST'!B2)</calculatedColumnFormula>
    </tableColumn>
    <tableColumn id="2" xr3:uid="{74F95D3C-0A2C-4A03-8718-1116F4F1231C}" name="QTY Purchase" dataDxfId="17">
      <calculatedColumnFormula>IF(B7="","",SUMIFS(PURCHASE!D:D,PURCHASE!C:C,INVENTORY!B7))</calculatedColumnFormula>
    </tableColumn>
    <tableColumn id="3" xr3:uid="{50F07C45-B7C0-42EF-BE2A-83D60E5ECBB3}" name="Total Cost" dataDxfId="16" dataCellStyle="Comma">
      <calculatedColumnFormula>IF(B7="","",SUMIFS(PURCHASE!F:F,PURCHASE!C:C,INVENTORY!B7))</calculatedColumnFormula>
    </tableColumn>
    <tableColumn id="4" xr3:uid="{C75D0C3F-2DE9-4B88-A1B8-E8CE0A4EF412}" name="QTY Sell" dataDxfId="15">
      <calculatedColumnFormula>IF(B7="","",SUMIFS(SELL!D:D,SELL!C:C,INVENTORY!B7))</calculatedColumnFormula>
    </tableColumn>
    <tableColumn id="5" xr3:uid="{52F472AF-65EA-4141-8FDD-0F49FB81256E}" name="Total Revenue" dataDxfId="14" dataCellStyle="Comma">
      <calculatedColumnFormula>IF(B7="","",SUMIFS(SELL!F:F,SELL!C:C,INVENTORY!B7))</calculatedColumnFormula>
    </tableColumn>
    <tableColumn id="6" xr3:uid="{2EB8EB43-4EBC-4552-B142-B6252BFAE621}" name="Stock" dataDxfId="13">
      <calculatedColumnFormula>IF(B7="","",C7-E7)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BE4246F-3135-4C54-9EFE-D1CD1815C52A}" name="Item_list" displayName="Item_list" ref="B1:B29" totalsRowShown="0" headerRowDxfId="10" headerRowBorderDxfId="9" tableBorderDxfId="8" totalsRowBorderDxfId="7">
  <autoFilter ref="B1:B29" xr:uid="{CBE4246F-3135-4C54-9EFE-D1CD1815C52A}"/>
  <tableColumns count="1">
    <tableColumn id="1" xr3:uid="{016873F2-2A3B-4629-BC2D-6CBE8E7796B5}" name="Items" dataDxfId="6">
      <calculatedColumnFormula>I2&amp;" "&amp;J2&amp;" "&amp;K2&amp;" "&amp;L2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DAEB365-1A52-454E-94F5-7B88B09736AA}" name="Table9" displayName="Table9" ref="C1:C29" totalsRowShown="0" headerRowDxfId="5" dataDxfId="3" headerRowBorderDxfId="4" tableBorderDxfId="2" totalsRowBorderDxfId="1">
  <autoFilter ref="C1:C29" xr:uid="{1DAEB365-1A52-454E-94F5-7B88B09736AA}"/>
  <tableColumns count="1">
    <tableColumn id="1" xr3:uid="{51BE8773-C153-49C6-BBDE-B5FB3961AF94}" name="TEST DUPLICATE" dataDxfId="0">
      <calculatedColumnFormula>IF(Item_list[[#This Row],[Items]]=B3,1,0)</calculatedColumnFormula>
    </tableColumn>
  </tableColumns>
  <tableStyleInfo name="TableStyleLight10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95D2B15-5DF4-4241-899A-60C695368B46}" name="Table11" displayName="Table11" ref="I1:L25" totalsRowShown="0">
  <autoFilter ref="I1:L25" xr:uid="{595D2B15-5DF4-4241-899A-60C695368B46}"/>
  <tableColumns count="4">
    <tableColumn id="1" xr3:uid="{6D33F66D-940D-4518-9D27-9EAE940A38D1}" name="BRAND"/>
    <tableColumn id="2" xr3:uid="{0124BAB6-0FB3-4AEE-9ED3-BD32359DB845}" name="ITEM"/>
    <tableColumn id="3" xr3:uid="{644E5217-F6CD-4AEC-A8B6-4E13C79A4ADF}" name="COLOR"/>
    <tableColumn id="4" xr3:uid="{3434DC13-9305-4B42-AF07-A8B97A44C899}" name="QTY"/>
  </tableColumns>
  <tableStyleInfo name="TableStyleLight1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B89EDD-01FB-4E6B-997D-7342E4D6AA02}">
  <sheetPr codeName="Sheet1">
    <tabColor rgb="FFFF0000"/>
  </sheetPr>
  <dimension ref="A1:N20"/>
  <sheetViews>
    <sheetView topLeftCell="A4" workbookViewId="0">
      <selection activeCell="D17" sqref="D17"/>
    </sheetView>
  </sheetViews>
  <sheetFormatPr defaultColWidth="0" defaultRowHeight="14.5" zeroHeight="1" x14ac:dyDescent="0.35"/>
  <cols>
    <col min="1" max="1" width="9.1796875" style="1" customWidth="1"/>
    <col min="2" max="2" width="13.7265625" style="1" bestFit="1" customWidth="1"/>
    <col min="3" max="3" width="21.453125" style="1" bestFit="1" customWidth="1"/>
    <col min="4" max="4" width="11.1796875" style="1" customWidth="1"/>
    <col min="5" max="5" width="9.1796875" style="1" customWidth="1"/>
    <col min="6" max="6" width="9.7265625" style="1" customWidth="1"/>
    <col min="7" max="8" width="9.1796875" style="1" customWidth="1"/>
    <col min="9" max="9" width="13.7265625" style="1" bestFit="1" customWidth="1"/>
    <col min="10" max="10" width="21.453125" style="1" bestFit="1" customWidth="1"/>
    <col min="11" max="14" width="9.1796875" style="1" customWidth="1"/>
    <col min="15" max="16384" width="9.1796875" style="1" hidden="1"/>
  </cols>
  <sheetData>
    <row r="1" spans="2:11" x14ac:dyDescent="0.35"/>
    <row r="2" spans="2:11" x14ac:dyDescent="0.35"/>
    <row r="3" spans="2:11" x14ac:dyDescent="0.35"/>
    <row r="4" spans="2:11" x14ac:dyDescent="0.35"/>
    <row r="5" spans="2:11" x14ac:dyDescent="0.35"/>
    <row r="6" spans="2:11" x14ac:dyDescent="0.35"/>
    <row r="7" spans="2:11" x14ac:dyDescent="0.35"/>
    <row r="8" spans="2:11" x14ac:dyDescent="0.35"/>
    <row r="9" spans="2:11" x14ac:dyDescent="0.35"/>
    <row r="10" spans="2:11" x14ac:dyDescent="0.35">
      <c r="B10" s="4" t="s">
        <v>0</v>
      </c>
      <c r="C10" s="8"/>
      <c r="I10" s="2" t="s">
        <v>0</v>
      </c>
      <c r="J10" s="5"/>
    </row>
    <row r="11" spans="2:11" x14ac:dyDescent="0.35">
      <c r="B11" s="4" t="s">
        <v>1</v>
      </c>
      <c r="C11" s="9"/>
      <c r="I11" s="2" t="s">
        <v>1</v>
      </c>
      <c r="J11" s="3"/>
    </row>
    <row r="12" spans="2:11" x14ac:dyDescent="0.35">
      <c r="B12" s="4" t="s">
        <v>2</v>
      </c>
      <c r="C12" s="17"/>
      <c r="D12" s="4" t="s">
        <v>11</v>
      </c>
      <c r="E12" s="4" t="s">
        <v>9</v>
      </c>
      <c r="F12" s="4" t="s">
        <v>10</v>
      </c>
      <c r="G12" s="4" t="s">
        <v>12</v>
      </c>
      <c r="I12" s="2" t="s">
        <v>2</v>
      </c>
      <c r="J12" s="3"/>
    </row>
    <row r="13" spans="2:11" x14ac:dyDescent="0.35">
      <c r="B13" s="4" t="s">
        <v>3</v>
      </c>
      <c r="C13" s="21">
        <f>$G$13</f>
        <v>0</v>
      </c>
      <c r="D13" s="18"/>
      <c r="E13" s="19"/>
      <c r="F13" s="20"/>
      <c r="G13" s="1">
        <f>IF(Table7[[#This Row],[TAX]]="YES",(Table7[[#This Row],[USD/UNIT]]*1.0825+Table7[[#This Row],[WEIGHT]])*24000,(Table7[[#This Row],[USD/UNIT]]*+Table7[[#This Row],[WEIGHT]])*24000)</f>
        <v>0</v>
      </c>
      <c r="I13" s="2" t="s">
        <v>3</v>
      </c>
      <c r="J13" s="22"/>
    </row>
    <row r="14" spans="2:11" x14ac:dyDescent="0.35"/>
    <row r="15" spans="2:11" x14ac:dyDescent="0.35">
      <c r="K15" s="1" t="s">
        <v>21</v>
      </c>
    </row>
    <row r="16" spans="2:11" x14ac:dyDescent="0.35">
      <c r="K16" s="1" t="s">
        <v>22</v>
      </c>
    </row>
    <row r="17" spans="2:2" x14ac:dyDescent="0.35"/>
    <row r="18" spans="2:2" x14ac:dyDescent="0.35"/>
    <row r="19" spans="2:2" x14ac:dyDescent="0.35"/>
    <row r="20" spans="2:2" x14ac:dyDescent="0.35">
      <c r="B20" s="36" t="s">
        <v>64</v>
      </c>
    </row>
  </sheetData>
  <sheetProtection algorithmName="SHA-512" hashValue="JixIiyYVsEnqjh41tFiNjXYWiaaYGmAvfaDkCP7HE/CtFhSSmYwxzFhH/Qpren323cVi6B5MCMtYgE3cs2CT/A==" saltValue="UMPtzx1znf9lnO+e01xx5w==" spinCount="100000" sheet="1" objects="1" scenarios="1"/>
  <dataValidations count="2">
    <dataValidation type="list" allowBlank="1" showInputMessage="1" showErrorMessage="1" sqref="C11 J11" xr:uid="{7ADCE2CC-CC56-409B-A45B-5D549A62C452}">
      <formula1>INDIRECT("Item_list")</formula1>
    </dataValidation>
    <dataValidation type="custom" allowBlank="1" showInputMessage="1" showErrorMessage="1" error="WRONG FORMAT!" sqref="C10 C12:C13 J10 J13" xr:uid="{64422056-1967-47D0-BC43-A2F2B9FEBBDA}">
      <formula1>ISNUMBER(C10)</formula1>
    </dataValidation>
  </dataValidations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custom" allowBlank="1" showInputMessage="1" showErrorMessage="1" error="WRONG FORMAT OR NOT ENOUGH STOCK!" xr:uid="{C2E2DA4A-5163-40BF-96CF-68B981BA2F2E}">
          <x14:formula1>
            <xm:f>AND(ISNUMBER(J12),J12&lt;VLOOKUP(J11,INVENTORY!B:G,6,0))</xm:f>
          </x14:formula1>
          <xm:sqref>J12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D0CF8-2265-4D85-8DB5-C6CB43C8FC08}">
  <sheetPr codeName="Sheet2">
    <tabColor theme="7"/>
  </sheetPr>
  <dimension ref="B2:F4"/>
  <sheetViews>
    <sheetView workbookViewId="0">
      <selection activeCell="E11" sqref="E11"/>
    </sheetView>
  </sheetViews>
  <sheetFormatPr defaultRowHeight="14.5" x14ac:dyDescent="0.35"/>
  <cols>
    <col min="2" max="2" width="15.26953125" bestFit="1" customWidth="1"/>
    <col min="3" max="3" width="28" bestFit="1" customWidth="1"/>
    <col min="4" max="4" width="6.453125" bestFit="1" customWidth="1"/>
    <col min="5" max="5" width="16" bestFit="1" customWidth="1"/>
    <col min="6" max="6" width="13.54296875" bestFit="1" customWidth="1"/>
  </cols>
  <sheetData>
    <row r="2" spans="2:6" x14ac:dyDescent="0.35">
      <c r="B2" t="s">
        <v>0</v>
      </c>
      <c r="C2" t="s">
        <v>1</v>
      </c>
      <c r="D2" t="s">
        <v>13</v>
      </c>
      <c r="E2" t="s">
        <v>8</v>
      </c>
      <c r="F2" t="s">
        <v>5</v>
      </c>
    </row>
    <row r="3" spans="2:6" x14ac:dyDescent="0.35">
      <c r="B3" s="33">
        <v>44707</v>
      </c>
      <c r="C3" t="s">
        <v>63</v>
      </c>
      <c r="D3">
        <v>3</v>
      </c>
      <c r="E3">
        <v>75960</v>
      </c>
      <c r="F3">
        <v>227880</v>
      </c>
    </row>
    <row r="4" spans="2:6" x14ac:dyDescent="0.35">
      <c r="B4" s="33"/>
    </row>
  </sheetData>
  <sheetProtection algorithmName="SHA-512" hashValue="BvY15NJTGsDCJev+prGPaCdTfp+YWjo28Tr0KHHkV218uurP5Nj0N1tzy4+Zmw+eNV7qdZVpvTS9hu0LADVbEA==" saltValue="T+MgrML55nSgYty3tPs0Lw==" spinCount="100000" sheet="1" objects="1" scenarios="1"/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46858F-D82D-42FB-AB52-882DBB3A4134}">
  <sheetPr codeName="Sheet3">
    <tabColor theme="4"/>
  </sheetPr>
  <dimension ref="B2:F3"/>
  <sheetViews>
    <sheetView workbookViewId="0">
      <selection activeCell="C13" sqref="C13"/>
    </sheetView>
  </sheetViews>
  <sheetFormatPr defaultRowHeight="14.5" x14ac:dyDescent="0.35"/>
  <cols>
    <col min="2" max="2" width="10.36328125" bestFit="1" customWidth="1"/>
    <col min="3" max="3" width="24.08984375" bestFit="1" customWidth="1"/>
    <col min="4" max="4" width="6.453125" bestFit="1" customWidth="1"/>
    <col min="5" max="6" width="12" bestFit="1" customWidth="1"/>
  </cols>
  <sheetData>
    <row r="2" spans="2:6" x14ac:dyDescent="0.35">
      <c r="B2" s="34" t="s">
        <v>6</v>
      </c>
      <c r="C2" s="34" t="s">
        <v>1</v>
      </c>
      <c r="D2" s="34" t="s">
        <v>13</v>
      </c>
      <c r="E2" s="34" t="s">
        <v>3</v>
      </c>
      <c r="F2" s="34" t="s">
        <v>5</v>
      </c>
    </row>
    <row r="3" spans="2:6" x14ac:dyDescent="0.35">
      <c r="B3" s="35"/>
      <c r="C3" s="34"/>
      <c r="D3" s="34"/>
      <c r="E3" s="34"/>
      <c r="F3" s="34"/>
    </row>
  </sheetData>
  <sheetProtection algorithmName="SHA-512" hashValue="LTweVHQBWbZNzc+RFRYg8Yqd0wcVNdicVpONUek+QoAgHPco8tOm1cotIik2d5YqLmM/2b4PxXRUXfN2sozyDw==" saltValue="pAYIYXUgSuYpksvVMYSYdA==" spinCount="100000" sheet="1" objects="1" scenarios="1"/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51A59B-8937-49D0-855F-80CA7BED1F24}">
  <sheetPr codeName="Sheet4">
    <tabColor theme="0" tint="-0.499984740745262"/>
  </sheetPr>
  <dimension ref="B2:G24"/>
  <sheetViews>
    <sheetView tabSelected="1" workbookViewId="0">
      <selection activeCell="G11" sqref="G11"/>
    </sheetView>
  </sheetViews>
  <sheetFormatPr defaultRowHeight="14.5" x14ac:dyDescent="0.35"/>
  <cols>
    <col min="2" max="2" width="24.08984375" bestFit="1" customWidth="1"/>
    <col min="3" max="3" width="16.36328125" bestFit="1" customWidth="1"/>
    <col min="4" max="4" width="11.26953125" style="16" customWidth="1"/>
    <col min="5" max="5" width="11.453125" bestFit="1" customWidth="1"/>
    <col min="6" max="6" width="14.7265625" style="16" customWidth="1"/>
    <col min="7" max="7" width="7.36328125" customWidth="1"/>
  </cols>
  <sheetData>
    <row r="2" spans="2:7" x14ac:dyDescent="0.35">
      <c r="B2" s="23" t="s">
        <v>16</v>
      </c>
      <c r="C2" s="15">
        <f>SUM(D:D)</f>
        <v>227880</v>
      </c>
    </row>
    <row r="3" spans="2:7" x14ac:dyDescent="0.35">
      <c r="B3" s="23" t="s">
        <v>17</v>
      </c>
      <c r="C3" s="15">
        <f>SUM(F:F)</f>
        <v>0</v>
      </c>
    </row>
    <row r="4" spans="2:7" x14ac:dyDescent="0.35">
      <c r="B4" s="23" t="s">
        <v>18</v>
      </c>
      <c r="C4" s="15">
        <f>C3-C2</f>
        <v>-227880</v>
      </c>
    </row>
    <row r="5" spans="2:7" x14ac:dyDescent="0.35">
      <c r="C5" s="24"/>
    </row>
    <row r="6" spans="2:7" x14ac:dyDescent="0.35">
      <c r="B6" s="28" t="s">
        <v>1</v>
      </c>
      <c r="C6" s="29" t="s">
        <v>14</v>
      </c>
      <c r="D6" s="31" t="s">
        <v>16</v>
      </c>
      <c r="E6" s="29" t="s">
        <v>15</v>
      </c>
      <c r="F6" s="31" t="s">
        <v>17</v>
      </c>
      <c r="G6" s="30" t="s">
        <v>7</v>
      </c>
    </row>
    <row r="7" spans="2:7" x14ac:dyDescent="0.35">
      <c r="B7" s="13" t="str">
        <f>IF('ITEM LIST'!B2="","",'ITEM LIST'!B2)</f>
        <v>BIC DAO CAO SOLEIL (VANG) SET 2</v>
      </c>
      <c r="C7" s="6">
        <f>IF(B7="","",SUMIFS(PURCHASE!D:D,PURCHASE!C:C,INVENTORY!B7))</f>
        <v>0</v>
      </c>
      <c r="D7" s="15">
        <f>IF(B7="","",SUMIFS(PURCHASE!F:F,PURCHASE!C:C,INVENTORY!B7))</f>
        <v>0</v>
      </c>
      <c r="E7" s="6">
        <f>IF(B7="","",SUMIFS(SELL!D:D,SELL!C:C,INVENTORY!B7))</f>
        <v>0</v>
      </c>
      <c r="F7" s="15">
        <f>IF(B7="","",SUMIFS(SELL!F:F,SELL!C:C,INVENTORY!B7))</f>
        <v>0</v>
      </c>
      <c r="G7" s="14">
        <f>IF(B7="","",C7-E7)</f>
        <v>0</v>
      </c>
    </row>
    <row r="8" spans="2:7" x14ac:dyDescent="0.35">
      <c r="B8" s="13" t="str">
        <f>IF('ITEM LIST'!B3="","",'ITEM LIST'!B3)</f>
        <v>BIC DAO CAO SOLEIL (TIM) SET 2</v>
      </c>
      <c r="C8" s="6">
        <f>IF(B8="","",SUMIFS(PURCHASE!D:D,PURCHASE!C:C,INVENTORY!B8))</f>
        <v>3</v>
      </c>
      <c r="D8" s="15">
        <f>IF(B8="","",SUMIFS(PURCHASE!F:F,PURCHASE!C:C,INVENTORY!B8))</f>
        <v>227880</v>
      </c>
      <c r="E8" s="6">
        <f>IF(B8="","",SUMIFS(SELL!D:D,SELL!C:C,INVENTORY!B8))</f>
        <v>0</v>
      </c>
      <c r="F8" s="15">
        <f>IF(B8="","",SUMIFS(SELL!F:F,SELL!C:C,INVENTORY!B8))</f>
        <v>0</v>
      </c>
      <c r="G8" s="14">
        <f t="shared" ref="G8:G24" si="0">IF(B8="","",C8-E8)</f>
        <v>3</v>
      </c>
    </row>
    <row r="9" spans="2:7" x14ac:dyDescent="0.35">
      <c r="B9" s="13" t="str">
        <f>IF('ITEM LIST'!B4="","",'ITEM LIST'!B4)</f>
        <v>YOUTHEORY COLLAGEN  390V</v>
      </c>
      <c r="C9" s="6">
        <f>IF(B9="","",SUMIFS(PURCHASE!D:D,PURCHASE!C:C,INVENTORY!B9))</f>
        <v>0</v>
      </c>
      <c r="D9" s="15">
        <f>IF(B9="","",SUMIFS(PURCHASE!F:F,PURCHASE!C:C,INVENTORY!B9))</f>
        <v>0</v>
      </c>
      <c r="E9" s="6">
        <f>IF(B9="","",SUMIFS(SELL!D:D,SELL!C:C,INVENTORY!B9))</f>
        <v>0</v>
      </c>
      <c r="F9" s="15">
        <f>IF(B9="","",SUMIFS(SELL!F:F,SELL!C:C,INVENTORY!B9))</f>
        <v>0</v>
      </c>
      <c r="G9" s="14">
        <f t="shared" si="0"/>
        <v>0</v>
      </c>
    </row>
    <row r="10" spans="2:7" x14ac:dyDescent="0.35">
      <c r="B10" s="13" t="str">
        <f>IF('ITEM LIST'!B5="","",'ITEM LIST'!B5)</f>
        <v>PEARL TAMPAX  34C</v>
      </c>
      <c r="C10" s="6">
        <f>IF(B10="","",SUMIFS(PURCHASE!D:D,PURCHASE!C:C,INVENTORY!B10))</f>
        <v>0</v>
      </c>
      <c r="D10" s="15">
        <f>IF(B10="","",SUMIFS(PURCHASE!F:F,PURCHASE!C:C,INVENTORY!B10))</f>
        <v>0</v>
      </c>
      <c r="E10" s="6">
        <f>IF(B10="","",SUMIFS(SELL!D:D,SELL!C:C,INVENTORY!B10))</f>
        <v>0</v>
      </c>
      <c r="F10" s="15">
        <f>IF(B10="","",SUMIFS(SELL!F:F,SELL!C:C,INVENTORY!B10))</f>
        <v>0</v>
      </c>
      <c r="G10" s="14">
        <f t="shared" si="0"/>
        <v>0</v>
      </c>
    </row>
    <row r="11" spans="2:7" x14ac:dyDescent="0.35">
      <c r="B11" s="13" t="str">
        <f>IF('ITEM LIST'!B6="","",'ITEM LIST'!B6)</f>
        <v>BOUNCE GIAY THOM QUAN AO  105M</v>
      </c>
      <c r="C11" s="6">
        <f>IF(B11="","",SUMIFS(PURCHASE!D:D,PURCHASE!C:C,INVENTORY!B11))</f>
        <v>0</v>
      </c>
      <c r="D11" s="15">
        <f>IF(B11="","",SUMIFS(PURCHASE!F:F,PURCHASE!C:C,INVENTORY!B11))</f>
        <v>0</v>
      </c>
      <c r="E11" s="6">
        <f>IF(B11="","",SUMIFS(SELL!D:D,SELL!C:C,INVENTORY!B11))</f>
        <v>0</v>
      </c>
      <c r="F11" s="15">
        <f>IF(B11="","",SUMIFS(SELL!F:F,SELL!C:C,INVENTORY!B11))</f>
        <v>0</v>
      </c>
      <c r="G11" s="14">
        <f t="shared" si="0"/>
        <v>0</v>
      </c>
    </row>
    <row r="12" spans="2:7" x14ac:dyDescent="0.35">
      <c r="B12" s="13" t="str">
        <f>IF('ITEM LIST'!B7="","",'ITEM LIST'!B7)</f>
        <v xml:space="preserve">VENUS DAO CAO  </v>
      </c>
      <c r="C12" s="6">
        <f>IF(B12="","",SUMIFS(PURCHASE!D:D,PURCHASE!C:C,INVENTORY!B12))</f>
        <v>0</v>
      </c>
      <c r="D12" s="15">
        <f>IF(B12="","",SUMIFS(PURCHASE!F:F,PURCHASE!C:C,INVENTORY!B12))</f>
        <v>0</v>
      </c>
      <c r="E12" s="6">
        <f>IF(B12="","",SUMIFS(SELL!D:D,SELL!C:C,INVENTORY!B12))</f>
        <v>0</v>
      </c>
      <c r="F12" s="15">
        <f>IF(B12="","",SUMIFS(SELL!F:F,SELL!C:C,INVENTORY!B12))</f>
        <v>0</v>
      </c>
      <c r="G12" s="14">
        <f t="shared" si="0"/>
        <v>0</v>
      </c>
    </row>
    <row r="13" spans="2:7" x14ac:dyDescent="0.35">
      <c r="B13" s="13" t="str">
        <f>IF('ITEM LIST'!B8="","",'ITEM LIST'!B8)</f>
        <v xml:space="preserve"> BVS  </v>
      </c>
      <c r="C13" s="6">
        <f>IF(B13="","",SUMIFS(PURCHASE!D:D,PURCHASE!C:C,INVENTORY!B13))</f>
        <v>0</v>
      </c>
      <c r="D13" s="15">
        <f>IF(B13="","",SUMIFS(PURCHASE!F:F,PURCHASE!C:C,INVENTORY!B13))</f>
        <v>0</v>
      </c>
      <c r="E13" s="6">
        <f>IF(B13="","",SUMIFS(SELL!D:D,SELL!C:C,INVENTORY!B13))</f>
        <v>0</v>
      </c>
      <c r="F13" s="15">
        <f>IF(B13="","",SUMIFS(SELL!F:F,SELL!C:C,INVENTORY!B13))</f>
        <v>0</v>
      </c>
      <c r="G13" s="14">
        <f t="shared" si="0"/>
        <v>0</v>
      </c>
    </row>
    <row r="14" spans="2:7" x14ac:dyDescent="0.35">
      <c r="B14" s="13" t="str">
        <f>IF('ITEM LIST'!B9="","",'ITEM LIST'!B9)</f>
        <v xml:space="preserve">SUMMER EVE DDVS  </v>
      </c>
      <c r="C14" s="6">
        <f>IF(B14="","",SUMIFS(PURCHASE!D:D,PURCHASE!C:C,INVENTORY!B14))</f>
        <v>0</v>
      </c>
      <c r="D14" s="15">
        <f>IF(B14="","",SUMIFS(PURCHASE!F:F,PURCHASE!C:C,INVENTORY!B14))</f>
        <v>0</v>
      </c>
      <c r="E14" s="6">
        <f>IF(B14="","",SUMIFS(SELL!D:D,SELL!C:C,INVENTORY!B14))</f>
        <v>0</v>
      </c>
      <c r="F14" s="15">
        <f>IF(B14="","",SUMIFS(SELL!F:F,SELL!C:C,INVENTORY!B14))</f>
        <v>0</v>
      </c>
      <c r="G14" s="14">
        <f t="shared" si="0"/>
        <v>0</v>
      </c>
    </row>
    <row r="15" spans="2:7" x14ac:dyDescent="0.35">
      <c r="B15" s="13" t="str">
        <f>IF('ITEM LIST'!B10="","",'ITEM LIST'!B10)</f>
        <v>SKINTIMATE KEM CAO  3OZ</v>
      </c>
      <c r="C15" s="6">
        <f>IF(B15="","",SUMIFS(PURCHASE!D:D,PURCHASE!C:C,INVENTORY!B15))</f>
        <v>0</v>
      </c>
      <c r="D15" s="15">
        <f>IF(B15="","",SUMIFS(PURCHASE!F:F,PURCHASE!C:C,INVENTORY!B15))</f>
        <v>0</v>
      </c>
      <c r="E15" s="6">
        <f>IF(B15="","",SUMIFS(SELL!D:D,SELL!C:C,INVENTORY!B15))</f>
        <v>0</v>
      </c>
      <c r="F15" s="15">
        <f>IF(B15="","",SUMIFS(SELL!F:F,SELL!C:C,INVENTORY!B15))</f>
        <v>0</v>
      </c>
      <c r="G15" s="14">
        <f t="shared" si="0"/>
        <v>0</v>
      </c>
    </row>
    <row r="16" spans="2:7" x14ac:dyDescent="0.35">
      <c r="B16" s="13" t="str">
        <f>IF('ITEM LIST'!B11="","",'ITEM LIST'!B11)</f>
        <v>NATURE BOUNTY GUMMIES  COLLAGEN + ORANGE 80V</v>
      </c>
      <c r="C16" s="6">
        <f>IF(B16="","",SUMIFS(PURCHASE!D:D,PURCHASE!C:C,INVENTORY!B16))</f>
        <v>0</v>
      </c>
      <c r="D16" s="15">
        <f>IF(B16="","",SUMIFS(PURCHASE!F:F,PURCHASE!C:C,INVENTORY!B16))</f>
        <v>0</v>
      </c>
      <c r="E16" s="6">
        <f>IF(B16="","",SUMIFS(SELL!D:D,SELL!C:C,INVENTORY!B16))</f>
        <v>0</v>
      </c>
      <c r="F16" s="15">
        <f>IF(B16="","",SUMIFS(SELL!F:F,SELL!C:C,INVENTORY!B16))</f>
        <v>0</v>
      </c>
      <c r="G16" s="14">
        <f t="shared" si="0"/>
        <v>0</v>
      </c>
    </row>
    <row r="17" spans="2:7" x14ac:dyDescent="0.35">
      <c r="B17" s="13" t="str">
        <f>IF('ITEM LIST'!B12="","",'ITEM LIST'!B12)</f>
        <v xml:space="preserve">VICHY KCN  </v>
      </c>
      <c r="C17" s="6">
        <f>IF(B17="","",SUMIFS(PURCHASE!D:D,PURCHASE!C:C,INVENTORY!B17))</f>
        <v>0</v>
      </c>
      <c r="D17" s="15">
        <f>IF(B17="","",SUMIFS(PURCHASE!F:F,PURCHASE!C:C,INVENTORY!B17))</f>
        <v>0</v>
      </c>
      <c r="E17" s="6">
        <f>IF(B17="","",SUMIFS(SELL!D:D,SELL!C:C,INVENTORY!B17))</f>
        <v>0</v>
      </c>
      <c r="F17" s="15">
        <f>IF(B17="","",SUMIFS(SELL!F:F,SELL!C:C,INVENTORY!B17))</f>
        <v>0</v>
      </c>
      <c r="G17" s="14">
        <f t="shared" si="0"/>
        <v>0</v>
      </c>
    </row>
    <row r="18" spans="2:7" x14ac:dyDescent="0.35">
      <c r="B18" s="13" t="str">
        <f>IF('ITEM LIST'!B13="","",'ITEM LIST'!B13)</f>
        <v>PEARL TAMPAX  36C</v>
      </c>
      <c r="C18" s="6">
        <f>IF(B18="","",SUMIFS(PURCHASE!D:D,PURCHASE!C:C,INVENTORY!B18))</f>
        <v>0</v>
      </c>
      <c r="D18" s="15">
        <f>IF(B18="","",SUMIFS(PURCHASE!F:F,PURCHASE!C:C,INVENTORY!B18))</f>
        <v>0</v>
      </c>
      <c r="E18" s="6">
        <f>IF(B18="","",SUMIFS(SELL!D:D,SELL!C:C,INVENTORY!B18))</f>
        <v>0</v>
      </c>
      <c r="F18" s="15">
        <f>IF(B18="","",SUMIFS(SELL!F:F,SELL!C:C,INVENTORY!B18))</f>
        <v>0</v>
      </c>
      <c r="G18" s="14">
        <f t="shared" si="0"/>
        <v>0</v>
      </c>
    </row>
    <row r="19" spans="2:7" x14ac:dyDescent="0.35">
      <c r="B19" s="13" t="str">
        <f>IF('ITEM LIST'!B14="","",'ITEM LIST'!B14)</f>
        <v>NATURE BOUNTY GUMMIES  DAU 80V</v>
      </c>
      <c r="C19" s="6">
        <f>IF(B19="","",SUMIFS(PURCHASE!D:D,PURCHASE!C:C,INVENTORY!B19))</f>
        <v>0</v>
      </c>
      <c r="D19" s="15">
        <f>IF(B19="","",SUMIFS(PURCHASE!F:F,PURCHASE!C:C,INVENTORY!B19))</f>
        <v>0</v>
      </c>
      <c r="E19" s="6">
        <f>IF(B19="","",SUMIFS(SELL!D:D,SELL!C:C,INVENTORY!B19))</f>
        <v>0</v>
      </c>
      <c r="F19" s="15">
        <f>IF(B19="","",SUMIFS(SELL!F:F,SELL!C:C,INVENTORY!B19))</f>
        <v>0</v>
      </c>
      <c r="G19" s="14">
        <f t="shared" si="0"/>
        <v>0</v>
      </c>
    </row>
    <row r="20" spans="2:7" x14ac:dyDescent="0.35">
      <c r="B20" s="13" t="str">
        <f>IF('ITEM LIST'!B15="","",'ITEM LIST'!B15)</f>
        <v xml:space="preserve">VAGISIL DDVS  </v>
      </c>
      <c r="C20" s="6">
        <f>IF(B20="","",SUMIFS(PURCHASE!D:D,PURCHASE!C:C,INVENTORY!B20))</f>
        <v>0</v>
      </c>
      <c r="D20" s="15">
        <f>IF(B20="","",SUMIFS(PURCHASE!F:F,PURCHASE!C:C,INVENTORY!B20))</f>
        <v>0</v>
      </c>
      <c r="E20" s="6">
        <f>IF(B20="","",SUMIFS(SELL!D:D,SELL!C:C,INVENTORY!B20))</f>
        <v>0</v>
      </c>
      <c r="F20" s="15">
        <f>IF(B20="","",SUMIFS(SELL!F:F,SELL!C:C,INVENTORY!B20))</f>
        <v>0</v>
      </c>
      <c r="G20" s="14">
        <f t="shared" si="0"/>
        <v>0</v>
      </c>
    </row>
    <row r="21" spans="2:7" x14ac:dyDescent="0.35">
      <c r="B21" s="13" t="str">
        <f>IF('ITEM LIST'!B16="","",'ITEM LIST'!B16)</f>
        <v xml:space="preserve">VAGISIL XIT PHU KHOA  </v>
      </c>
      <c r="C21" s="6">
        <f>IF(B21="","",SUMIFS(PURCHASE!D:D,PURCHASE!C:C,INVENTORY!B21))</f>
        <v>0</v>
      </c>
      <c r="D21" s="15">
        <f>IF(B21="","",SUMIFS(PURCHASE!F:F,PURCHASE!C:C,INVENTORY!B21))</f>
        <v>0</v>
      </c>
      <c r="E21" s="6">
        <f>IF(B21="","",SUMIFS(SELL!D:D,SELL!C:C,INVENTORY!B21))</f>
        <v>0</v>
      </c>
      <c r="F21" s="15">
        <f>IF(B21="","",SUMIFS(SELL!F:F,SELL!C:C,INVENTORY!B21))</f>
        <v>0</v>
      </c>
      <c r="G21" s="14">
        <f t="shared" si="0"/>
        <v>0</v>
      </c>
    </row>
    <row r="22" spans="2:7" x14ac:dyDescent="0.35">
      <c r="B22" s="13" t="str">
        <f>IF('ITEM LIST'!B17="","",'ITEM LIST'!B17)</f>
        <v xml:space="preserve">ONE A DAY   </v>
      </c>
      <c r="C22" s="6">
        <f>IF(B22="","",SUMIFS(PURCHASE!D:D,PURCHASE!C:C,INVENTORY!B22))</f>
        <v>0</v>
      </c>
      <c r="D22" s="15">
        <f>IF(B22="","",SUMIFS(PURCHASE!F:F,PURCHASE!C:C,INVENTORY!B22))</f>
        <v>0</v>
      </c>
      <c r="E22" s="6">
        <f>IF(B22="","",SUMIFS(SELL!D:D,SELL!C:C,INVENTORY!B22))</f>
        <v>0</v>
      </c>
      <c r="F22" s="15">
        <f>IF(B22="","",SUMIFS(SELL!F:F,SELL!C:C,INVENTORY!B22))</f>
        <v>0</v>
      </c>
      <c r="G22" s="14">
        <f t="shared" si="0"/>
        <v>0</v>
      </c>
    </row>
    <row r="23" spans="2:7" x14ac:dyDescent="0.35">
      <c r="B23" s="13" t="str">
        <f>IF('ITEM LIST'!B18="","",'ITEM LIST'!B18)</f>
        <v>SUMMER EVE GIAY LAU  16M</v>
      </c>
      <c r="C23" s="6">
        <f>IF(B23="","",SUMIFS(PURCHASE!D:D,PURCHASE!C:C,INVENTORY!B23))</f>
        <v>0</v>
      </c>
      <c r="D23" s="15">
        <f>IF(B23="","",SUMIFS(PURCHASE!F:F,PURCHASE!C:C,INVENTORY!B23))</f>
        <v>0</v>
      </c>
      <c r="E23" s="6">
        <f>IF(B23="","",SUMIFS(SELL!D:D,SELL!C:C,INVENTORY!B23))</f>
        <v>0</v>
      </c>
      <c r="F23" s="15">
        <f>IF(B23="","",SUMIFS(SELL!F:F,SELL!C:C,INVENTORY!B23))</f>
        <v>0</v>
      </c>
      <c r="G23" s="14">
        <f t="shared" si="0"/>
        <v>0</v>
      </c>
    </row>
    <row r="24" spans="2:7" x14ac:dyDescent="0.35">
      <c r="B24" s="10" t="str">
        <f>IF('ITEM LIST'!B19="","",'ITEM LIST'!B19)</f>
        <v xml:space="preserve">AZO VANG  </v>
      </c>
      <c r="C24" s="11">
        <f>IF(B24="","",SUMIFS(PURCHASE!D:D,PURCHASE!C:C,INVENTORY!B24))</f>
        <v>0</v>
      </c>
      <c r="D24" s="32">
        <f>IF(B24="","",SUMIFS(PURCHASE!F:F,PURCHASE!C:C,INVENTORY!B24))</f>
        <v>0</v>
      </c>
      <c r="E24" s="11">
        <f>IF(B24="","",SUMIFS(SELL!D:D,SELL!C:C,INVENTORY!B24))</f>
        <v>0</v>
      </c>
      <c r="F24" s="32">
        <f>IF(B24="","",SUMIFS(SELL!F:F,SELL!C:C,INVENTORY!B24))</f>
        <v>0</v>
      </c>
      <c r="G24" s="12">
        <f t="shared" si="0"/>
        <v>0</v>
      </c>
    </row>
  </sheetData>
  <sheetProtection algorithmName="SHA-512" hashValue="wNAP2/yd6lHxIS+ebe2BFiMRL24vm66oZy1eWTZafRjthj9LsjWLs4byuDFJmtU86iBJ60gxjaAGmkP981rjrQ==" saltValue="DNOEI1N8Q73n4NpedJ/z7g==" spinCount="100000" sheet="1" objects="1" scenarios="1"/>
  <conditionalFormatting sqref="G1:G1048576">
    <cfRule type="cellIs" dxfId="23" priority="1" operator="lessThan">
      <formula>0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06AF0-FC39-4E97-BC65-184E3EFC2A1B}">
  <sheetPr codeName="Sheet5">
    <tabColor theme="9" tint="-0.249977111117893"/>
  </sheetPr>
  <dimension ref="B1:L29"/>
  <sheetViews>
    <sheetView workbookViewId="0">
      <selection activeCell="E10" sqref="E10"/>
    </sheetView>
  </sheetViews>
  <sheetFormatPr defaultRowHeight="14.5" x14ac:dyDescent="0.35"/>
  <cols>
    <col min="2" max="2" width="47.1796875" bestFit="1" customWidth="1"/>
    <col min="3" max="3" width="7.36328125" style="27" customWidth="1"/>
    <col min="9" max="9" width="15.1796875" bestFit="1" customWidth="1"/>
    <col min="10" max="10" width="14.7265625" bestFit="1" customWidth="1"/>
  </cols>
  <sheetData>
    <row r="1" spans="2:12" ht="29" x14ac:dyDescent="0.35">
      <c r="B1" s="25" t="s">
        <v>4</v>
      </c>
      <c r="C1" s="26" t="s">
        <v>20</v>
      </c>
      <c r="I1" t="s">
        <v>31</v>
      </c>
      <c r="J1" t="s">
        <v>32</v>
      </c>
      <c r="K1" t="s">
        <v>33</v>
      </c>
      <c r="L1" t="s">
        <v>13</v>
      </c>
    </row>
    <row r="2" spans="2:12" x14ac:dyDescent="0.35">
      <c r="B2" s="13" t="str">
        <f>I2&amp;" "&amp;J2&amp;" "&amp;K2&amp;" "&amp;L2</f>
        <v>BIC DAO CAO SOLEIL (VANG) SET 2</v>
      </c>
      <c r="C2" s="27">
        <f>IF(Item_list[[#This Row],[Items]]=B3,1,0)</f>
        <v>0</v>
      </c>
      <c r="I2" t="s">
        <v>27</v>
      </c>
      <c r="J2" t="s">
        <v>28</v>
      </c>
      <c r="K2" t="s">
        <v>29</v>
      </c>
      <c r="L2" t="s">
        <v>30</v>
      </c>
    </row>
    <row r="3" spans="2:12" x14ac:dyDescent="0.35">
      <c r="B3" s="13" t="str">
        <f t="shared" ref="B3:B29" si="0">I3&amp;" "&amp;J3&amp;" "&amp;K3&amp;" "&amp;L3</f>
        <v>BIC DAO CAO SOLEIL (TIM) SET 2</v>
      </c>
      <c r="C3" s="27">
        <f>IF(Item_list[[#This Row],[Items]]=B4,1,0)</f>
        <v>0</v>
      </c>
      <c r="I3" t="s">
        <v>27</v>
      </c>
      <c r="J3" t="s">
        <v>28</v>
      </c>
      <c r="K3" t="s">
        <v>34</v>
      </c>
      <c r="L3" t="s">
        <v>30</v>
      </c>
    </row>
    <row r="4" spans="2:12" x14ac:dyDescent="0.35">
      <c r="B4" s="13" t="str">
        <f t="shared" si="0"/>
        <v>YOUTHEORY COLLAGEN  390V</v>
      </c>
      <c r="C4" s="27">
        <f>IF(Item_list[[#This Row],[Items]]=B5,1,0)</f>
        <v>0</v>
      </c>
      <c r="I4" t="s">
        <v>35</v>
      </c>
      <c r="J4" t="s">
        <v>23</v>
      </c>
      <c r="L4" t="s">
        <v>36</v>
      </c>
    </row>
    <row r="5" spans="2:12" x14ac:dyDescent="0.35">
      <c r="B5" s="13" t="str">
        <f t="shared" si="0"/>
        <v>PEARL TAMPAX  34C</v>
      </c>
      <c r="C5" s="27">
        <f>IF(Item_list[[#This Row],[Items]]=B6,1,0)</f>
        <v>0</v>
      </c>
      <c r="I5" t="s">
        <v>37</v>
      </c>
      <c r="J5" t="s">
        <v>24</v>
      </c>
      <c r="L5" t="s">
        <v>38</v>
      </c>
    </row>
    <row r="6" spans="2:12" x14ac:dyDescent="0.35">
      <c r="B6" s="13" t="str">
        <f t="shared" si="0"/>
        <v>BOUNCE GIAY THOM QUAN AO  105M</v>
      </c>
      <c r="C6" s="27">
        <f>IF(Item_list[[#This Row],[Items]]=B7,1,0)</f>
        <v>0</v>
      </c>
      <c r="I6" t="s">
        <v>39</v>
      </c>
      <c r="J6" t="s">
        <v>40</v>
      </c>
      <c r="L6" t="s">
        <v>41</v>
      </c>
    </row>
    <row r="7" spans="2:12" x14ac:dyDescent="0.35">
      <c r="B7" s="13" t="str">
        <f t="shared" si="0"/>
        <v xml:space="preserve">VENUS DAO CAO  </v>
      </c>
      <c r="C7" s="27">
        <f>IF(Item_list[[#This Row],[Items]]=B8,1,0)</f>
        <v>0</v>
      </c>
      <c r="I7" t="s">
        <v>19</v>
      </c>
      <c r="J7" t="s">
        <v>26</v>
      </c>
    </row>
    <row r="8" spans="2:12" x14ac:dyDescent="0.35">
      <c r="B8" s="13" t="str">
        <f t="shared" si="0"/>
        <v xml:space="preserve"> BVS  </v>
      </c>
      <c r="C8" s="27">
        <f>IF(Item_list[[#This Row],[Items]]=B9,1,0)</f>
        <v>0</v>
      </c>
      <c r="J8" t="s">
        <v>25</v>
      </c>
    </row>
    <row r="9" spans="2:12" x14ac:dyDescent="0.35">
      <c r="B9" s="13" t="str">
        <f t="shared" si="0"/>
        <v xml:space="preserve">SUMMER EVE DDVS  </v>
      </c>
      <c r="C9" s="27">
        <f>IF(Item_list[[#This Row],[Items]]=B10,1,0)</f>
        <v>0</v>
      </c>
      <c r="I9" t="s">
        <v>42</v>
      </c>
      <c r="J9" t="s">
        <v>43</v>
      </c>
    </row>
    <row r="10" spans="2:12" x14ac:dyDescent="0.35">
      <c r="B10" s="13" t="str">
        <f t="shared" si="0"/>
        <v>SKINTIMATE KEM CAO  3OZ</v>
      </c>
      <c r="C10" s="27">
        <f>IF(Item_list[[#This Row],[Items]]=B11,1,0)</f>
        <v>0</v>
      </c>
      <c r="I10" t="s">
        <v>44</v>
      </c>
      <c r="J10" t="s">
        <v>45</v>
      </c>
      <c r="L10" t="s">
        <v>46</v>
      </c>
    </row>
    <row r="11" spans="2:12" x14ac:dyDescent="0.35">
      <c r="B11" s="13" t="str">
        <f t="shared" si="0"/>
        <v>NATURE BOUNTY GUMMIES  COLLAGEN + ORANGE 80V</v>
      </c>
      <c r="C11" s="27">
        <f>IF(Item_list[[#This Row],[Items]]=B12,1,0)</f>
        <v>0</v>
      </c>
      <c r="I11" s="7" t="s">
        <v>47</v>
      </c>
      <c r="J11" t="s">
        <v>48</v>
      </c>
      <c r="K11" s="7" t="s">
        <v>49</v>
      </c>
      <c r="L11" s="7" t="s">
        <v>50</v>
      </c>
    </row>
    <row r="12" spans="2:12" x14ac:dyDescent="0.35">
      <c r="B12" s="13" t="str">
        <f t="shared" si="0"/>
        <v xml:space="preserve">VICHY KCN  </v>
      </c>
      <c r="C12" s="27">
        <f>IF(Item_list[[#This Row],[Items]]=B13,1,0)</f>
        <v>0</v>
      </c>
      <c r="I12" t="s">
        <v>51</v>
      </c>
      <c r="J12" t="s">
        <v>52</v>
      </c>
    </row>
    <row r="13" spans="2:12" x14ac:dyDescent="0.35">
      <c r="B13" s="13" t="str">
        <f t="shared" si="0"/>
        <v>PEARL TAMPAX  36C</v>
      </c>
      <c r="C13" s="27">
        <f>IF(Item_list[[#This Row],[Items]]=B14,1,0)</f>
        <v>0</v>
      </c>
      <c r="I13" t="s">
        <v>37</v>
      </c>
      <c r="J13" t="s">
        <v>24</v>
      </c>
      <c r="L13" t="s">
        <v>53</v>
      </c>
    </row>
    <row r="14" spans="2:12" x14ac:dyDescent="0.35">
      <c r="B14" s="13" t="str">
        <f t="shared" si="0"/>
        <v>NATURE BOUNTY GUMMIES  DAU 80V</v>
      </c>
      <c r="C14" s="27">
        <f>IF(Item_list[[#This Row],[Items]]=B15,1,0)</f>
        <v>0</v>
      </c>
      <c r="I14" s="7" t="s">
        <v>47</v>
      </c>
      <c r="J14" t="s">
        <v>48</v>
      </c>
      <c r="K14" s="7" t="s">
        <v>54</v>
      </c>
      <c r="L14" s="7" t="s">
        <v>50</v>
      </c>
    </row>
    <row r="15" spans="2:12" x14ac:dyDescent="0.35">
      <c r="B15" s="13" t="str">
        <f t="shared" si="0"/>
        <v xml:space="preserve">VAGISIL DDVS  </v>
      </c>
      <c r="C15" s="27">
        <f>IF(Item_list[[#This Row],[Items]]=B16,1,0)</f>
        <v>0</v>
      </c>
      <c r="I15" t="s">
        <v>55</v>
      </c>
      <c r="J15" t="s">
        <v>43</v>
      </c>
    </row>
    <row r="16" spans="2:12" x14ac:dyDescent="0.35">
      <c r="B16" s="13" t="str">
        <f t="shared" si="0"/>
        <v xml:space="preserve">VAGISIL XIT PHU KHOA  </v>
      </c>
      <c r="C16" s="27">
        <f>IF(Item_list[[#This Row],[Items]]=B17,1,0)</f>
        <v>0</v>
      </c>
      <c r="I16" t="s">
        <v>55</v>
      </c>
      <c r="J16" t="s">
        <v>56</v>
      </c>
    </row>
    <row r="17" spans="2:12" x14ac:dyDescent="0.35">
      <c r="B17" s="13" t="str">
        <f t="shared" si="0"/>
        <v xml:space="preserve">ONE A DAY   </v>
      </c>
      <c r="C17" s="27">
        <f>IF(Item_list[[#This Row],[Items]]=B18,1,0)</f>
        <v>0</v>
      </c>
      <c r="I17" t="s">
        <v>57</v>
      </c>
    </row>
    <row r="18" spans="2:12" x14ac:dyDescent="0.35">
      <c r="B18" s="13" t="str">
        <f t="shared" si="0"/>
        <v>SUMMER EVE GIAY LAU  16M</v>
      </c>
      <c r="C18" s="27">
        <f>IF(Item_list[[#This Row],[Items]]=B19,1,0)</f>
        <v>0</v>
      </c>
      <c r="I18" t="s">
        <v>42</v>
      </c>
      <c r="J18" t="s">
        <v>58</v>
      </c>
      <c r="L18" t="s">
        <v>59</v>
      </c>
    </row>
    <row r="19" spans="2:12" x14ac:dyDescent="0.35">
      <c r="B19" s="13" t="str">
        <f t="shared" si="0"/>
        <v xml:space="preserve">AZO VANG  </v>
      </c>
      <c r="C19" s="27">
        <f>IF(Item_list[[#This Row],[Items]]=B20,1,0)</f>
        <v>0</v>
      </c>
      <c r="I19" t="s">
        <v>60</v>
      </c>
      <c r="J19" t="s">
        <v>61</v>
      </c>
    </row>
    <row r="20" spans="2:12" x14ac:dyDescent="0.35">
      <c r="B20" s="13" t="str">
        <f t="shared" si="0"/>
        <v xml:space="preserve">AZO DO  </v>
      </c>
      <c r="C20" s="27">
        <f>IF(Item_list[[#This Row],[Items]]=B21,1,0)</f>
        <v>0</v>
      </c>
      <c r="I20" t="s">
        <v>60</v>
      </c>
      <c r="J20" t="s">
        <v>62</v>
      </c>
    </row>
    <row r="21" spans="2:12" x14ac:dyDescent="0.35">
      <c r="B21" s="13" t="str">
        <f t="shared" si="0"/>
        <v xml:space="preserve">   </v>
      </c>
      <c r="C21" s="27">
        <f>IF(Item_list[[#This Row],[Items]]=B22,1,0)</f>
        <v>1</v>
      </c>
    </row>
    <row r="22" spans="2:12" x14ac:dyDescent="0.35">
      <c r="B22" s="13" t="str">
        <f t="shared" si="0"/>
        <v xml:space="preserve">   </v>
      </c>
      <c r="C22" s="27">
        <f>IF(Item_list[[#This Row],[Items]]=B23,1,0)</f>
        <v>1</v>
      </c>
    </row>
    <row r="23" spans="2:12" x14ac:dyDescent="0.35">
      <c r="B23" s="13" t="str">
        <f t="shared" si="0"/>
        <v xml:space="preserve">   </v>
      </c>
      <c r="C23" s="27">
        <f>IF(Item_list[[#This Row],[Items]]=B24,1,0)</f>
        <v>1</v>
      </c>
    </row>
    <row r="24" spans="2:12" x14ac:dyDescent="0.35">
      <c r="B24" s="13" t="str">
        <f t="shared" si="0"/>
        <v xml:space="preserve">   </v>
      </c>
      <c r="C24" s="27">
        <f>IF(Item_list[[#This Row],[Items]]=B25,1,0)</f>
        <v>1</v>
      </c>
    </row>
    <row r="25" spans="2:12" x14ac:dyDescent="0.35">
      <c r="B25" s="13" t="str">
        <f t="shared" si="0"/>
        <v xml:space="preserve">   </v>
      </c>
      <c r="C25" s="27">
        <f>IF(Item_list[[#This Row],[Items]]=B26,1,0)</f>
        <v>1</v>
      </c>
      <c r="I25" s="7"/>
      <c r="K25" s="7"/>
      <c r="L25" s="7"/>
    </row>
    <row r="26" spans="2:12" x14ac:dyDescent="0.35">
      <c r="B26" s="13" t="str">
        <f t="shared" si="0"/>
        <v xml:space="preserve">   </v>
      </c>
      <c r="C26" s="27">
        <f>IF(Item_list[[#This Row],[Items]]=B27,1,0)</f>
        <v>1</v>
      </c>
    </row>
    <row r="27" spans="2:12" x14ac:dyDescent="0.35">
      <c r="B27" s="13" t="str">
        <f t="shared" si="0"/>
        <v xml:space="preserve">   </v>
      </c>
      <c r="C27" s="27">
        <f>IF(Item_list[[#This Row],[Items]]=B28,1,0)</f>
        <v>1</v>
      </c>
    </row>
    <row r="28" spans="2:12" x14ac:dyDescent="0.35">
      <c r="B28" s="13" t="str">
        <f t="shared" si="0"/>
        <v xml:space="preserve">   </v>
      </c>
      <c r="C28" s="27">
        <f>IF(Item_list[[#This Row],[Items]]=B29,1,0)</f>
        <v>1</v>
      </c>
    </row>
    <row r="29" spans="2:12" x14ac:dyDescent="0.35">
      <c r="B29" s="13" t="str">
        <f t="shared" si="0"/>
        <v xml:space="preserve">   </v>
      </c>
      <c r="C29" s="27">
        <f>IF(Item_list[[#This Row],[Items]]=B30,1,0)</f>
        <v>0</v>
      </c>
    </row>
  </sheetData>
  <sheetProtection algorithmName="SHA-512" hashValue="y4yLfTpoFw+rrumwJnMvsmiTjKDuyXi/OpkHzupss6O4Wcg3dwSMRSaij1jQHViVyV74Rr4FNTG0/nPnv+FP7A==" saltValue="FB2kT9SW6WGBYihc62CXfQ==" spinCount="100000" sheet="1" objects="1" scenarios="1"/>
  <conditionalFormatting sqref="C2:C29">
    <cfRule type="cellIs" dxfId="12" priority="2" operator="lessThan">
      <formula>0</formula>
    </cfRule>
  </conditionalFormatting>
  <conditionalFormatting sqref="B1:B1048576">
    <cfRule type="duplicateValues" dxfId="11" priority="1"/>
  </conditionalFormatting>
  <pageMargins left="0.7" right="0.7" top="0.75" bottom="0.75" header="0.3" footer="0.3"/>
  <pageSetup orientation="portrait" r:id="rId1"/>
  <drawing r:id="rId2"/>
  <tableParts count="3"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E40646-8295-45BF-9602-C415FF9CAC2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DATA INPUT</vt:lpstr>
      <vt:lpstr>PURCHASE</vt:lpstr>
      <vt:lpstr>SELL</vt:lpstr>
      <vt:lpstr>INVENTORY</vt:lpstr>
      <vt:lpstr>ITEM 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Tran Nguyen</dc:creator>
  <cp:lastModifiedBy>Tran Nguyen</cp:lastModifiedBy>
  <dcterms:created xsi:type="dcterms:W3CDTF">2022-05-08T04:22:48Z</dcterms:created>
  <dcterms:modified xsi:type="dcterms:W3CDTF">2022-05-28T17:28:24Z</dcterms:modified>
</cp:coreProperties>
</file>